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_Caso" sheetId="1" state="visible" r:id="rId2"/>
    <sheet name="Resume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<sst xmlns="http://schemas.openxmlformats.org/spreadsheetml/2006/main" count="159" uniqueCount="50">
  <si>
    <t xml:space="preserve">Model</t>
  </si>
  <si>
    <t xml:space="preserve">Case</t>
  </si>
  <si>
    <t xml:space="preserve">Label</t>
  </si>
  <si>
    <t xml:space="preserve">Dice</t>
  </si>
  <si>
    <t xml:space="preserve">IoU</t>
  </si>
  <si>
    <t xml:space="preserve">Precision</t>
  </si>
  <si>
    <t xml:space="preserve">Specificity</t>
  </si>
  <si>
    <t xml:space="preserve">Vol_Error_%</t>
  </si>
  <si>
    <t xml:space="preserve">Vol_GT_mL</t>
  </si>
  <si>
    <t xml:space="preserve">Vol_Pred_mL</t>
  </si>
  <si>
    <t xml:space="preserve">HD95</t>
  </si>
  <si>
    <t xml:space="preserve">HDmax</t>
  </si>
  <si>
    <t xml:space="preserve">SSIM</t>
  </si>
  <si>
    <t xml:space="preserve">3D</t>
  </si>
  <si>
    <t xml:space="preserve">kidney_001</t>
  </si>
  <si>
    <t xml:space="preserve">kidney_002</t>
  </si>
  <si>
    <t xml:space="preserve">kidney_003</t>
  </si>
  <si>
    <t xml:space="preserve">kidney_004</t>
  </si>
  <si>
    <t xml:space="preserve">kidney_005</t>
  </si>
  <si>
    <t xml:space="preserve">kidney_006</t>
  </si>
  <si>
    <t xml:space="preserve">kidney_007</t>
  </si>
  <si>
    <t xml:space="preserve">kidney_008</t>
  </si>
  <si>
    <t xml:space="preserve">kidney_009</t>
  </si>
  <si>
    <t xml:space="preserve">kidney_010</t>
  </si>
  <si>
    <t xml:space="preserve">kidney_011</t>
  </si>
  <si>
    <t xml:space="preserve">kidney_012</t>
  </si>
  <si>
    <t xml:space="preserve">kidney_013</t>
  </si>
  <si>
    <t xml:space="preserve">kidney_014</t>
  </si>
  <si>
    <t xml:space="preserve">kidney_015</t>
  </si>
  <si>
    <t xml:space="preserve">2D</t>
  </si>
  <si>
    <t xml:space="preserve">Dice_mean</t>
  </si>
  <si>
    <t xml:space="preserve">Dice_std</t>
  </si>
  <si>
    <t xml:space="preserve">IoU_mean</t>
  </si>
  <si>
    <t xml:space="preserve">IoU_std</t>
  </si>
  <si>
    <t xml:space="preserve">Precision_mean</t>
  </si>
  <si>
    <t xml:space="preserve">Precision_std</t>
  </si>
  <si>
    <t xml:space="preserve">Specificity_mean</t>
  </si>
  <si>
    <t xml:space="preserve">Specificity_std</t>
  </si>
  <si>
    <t xml:space="preserve">Vol_GT_mL_mean</t>
  </si>
  <si>
    <t xml:space="preserve">Vol_GT_mL_std</t>
  </si>
  <si>
    <t xml:space="preserve">Vol_Pred_mL_mean</t>
  </si>
  <si>
    <t xml:space="preserve">Vol_Pred_mL_std</t>
  </si>
  <si>
    <t xml:space="preserve">Vol_Error_%_mean</t>
  </si>
  <si>
    <t xml:space="preserve">Vol_Error_%_std</t>
  </si>
  <si>
    <t xml:space="preserve">HD95_mean</t>
  </si>
  <si>
    <t xml:space="preserve">HD95_std</t>
  </si>
  <si>
    <t xml:space="preserve">HDmax_mean</t>
  </si>
  <si>
    <t xml:space="preserve">HDmax_std</t>
  </si>
  <si>
    <t xml:space="preserve">SSIM_mean</t>
  </si>
  <si>
    <t xml:space="preserve">SSIM_std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</si>
</sst>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53" activePane="bottomLeft" state="frozen"/>
      <selection pane="topLeft" activeCell="A1" activeCellId="0" sqref="A1"/>
      <selection pane="bottomLeft" activeCell="N67" activeCellId="0" sqref="N6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2" min="11" style="0" width="8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n">
        <v>1</v>
      </c>
      <c r="D2" s="2" t="n">
        <v>0.938162</v>
      </c>
      <c r="E2" s="2" t="n">
        <v>0.883527</v>
      </c>
      <c r="F2" s="2" t="n">
        <v>0.93522</v>
      </c>
      <c r="G2" s="2" t="n">
        <v>0.998204</v>
      </c>
      <c r="H2" s="2" t="n">
        <v>0.63128</v>
      </c>
      <c r="I2" s="2" t="n">
        <v>317.767</v>
      </c>
      <c r="J2" s="2" t="n">
        <v>319.773</v>
      </c>
      <c r="K2" s="2" t="n">
        <v>2.236</v>
      </c>
      <c r="L2" s="2" t="n">
        <v>22.935</v>
      </c>
      <c r="M2" s="2" t="n">
        <v>0.980435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2</v>
      </c>
      <c r="D3" s="0" t="n">
        <v>0.916245</v>
      </c>
      <c r="E3" s="0" t="n">
        <v>0.845436</v>
      </c>
      <c r="F3" s="0" t="n">
        <v>0.941057</v>
      </c>
      <c r="G3" s="0" t="n">
        <v>0.999873</v>
      </c>
      <c r="H3" s="0" t="n">
        <v>-5.137649</v>
      </c>
      <c r="I3" s="0" t="n">
        <v>26.88</v>
      </c>
      <c r="J3" s="0" t="n">
        <v>25.499</v>
      </c>
      <c r="K3" s="0" t="n">
        <v>2.449</v>
      </c>
      <c r="L3" s="0" t="n">
        <v>5.196</v>
      </c>
      <c r="M3" s="0" t="n">
        <v>0.997866</v>
      </c>
    </row>
    <row r="4" customFormat="false" ht="15" hidden="false" customHeight="false" outlineLevel="0" collapsed="false">
      <c r="A4" s="2" t="s">
        <v>13</v>
      </c>
      <c r="B4" s="2" t="s">
        <v>15</v>
      </c>
      <c r="C4" s="2" t="n">
        <v>1</v>
      </c>
      <c r="D4" s="2" t="n">
        <v>0.930624</v>
      </c>
      <c r="E4" s="2" t="n">
        <v>0.870249</v>
      </c>
      <c r="F4" s="2" t="n">
        <v>0.936216</v>
      </c>
      <c r="G4" s="2" t="n">
        <v>0.997685</v>
      </c>
      <c r="H4" s="2" t="n">
        <v>-1.187608</v>
      </c>
      <c r="I4" s="2" t="n">
        <v>562.812</v>
      </c>
      <c r="J4" s="2" t="n">
        <v>556.128</v>
      </c>
      <c r="K4" s="2" t="n">
        <v>12.538</v>
      </c>
      <c r="L4" s="2" t="n">
        <v>33.136</v>
      </c>
      <c r="M4" s="2" t="n">
        <v>0.972433</v>
      </c>
    </row>
    <row r="5" customFormat="false" ht="15" hidden="false" customHeight="false" outlineLevel="0" collapsed="false">
      <c r="A5" s="0" t="s">
        <v>13</v>
      </c>
      <c r="B5" s="0" t="s">
        <v>15</v>
      </c>
      <c r="C5" s="0" t="n">
        <v>2</v>
      </c>
      <c r="D5" s="0" t="n">
        <v>0.896547</v>
      </c>
      <c r="E5" s="0" t="n">
        <v>0.812492</v>
      </c>
      <c r="F5" s="0" t="n">
        <v>0.878076</v>
      </c>
      <c r="G5" s="0" t="n">
        <v>0.998706</v>
      </c>
      <c r="H5" s="0" t="n">
        <v>4.297546</v>
      </c>
      <c r="I5" s="0" t="n">
        <v>159.975</v>
      </c>
      <c r="J5" s="0" t="n">
        <v>166.85</v>
      </c>
      <c r="K5" s="0" t="n">
        <v>5.196</v>
      </c>
      <c r="L5" s="0" t="n">
        <v>7.348</v>
      </c>
      <c r="M5" s="0" t="n">
        <v>0.991037</v>
      </c>
    </row>
    <row r="6" customFormat="false" ht="15" hidden="false" customHeight="false" outlineLevel="0" collapsed="false">
      <c r="A6" s="2" t="s">
        <v>13</v>
      </c>
      <c r="B6" s="2" t="s">
        <v>16</v>
      </c>
      <c r="C6" s="2" t="n">
        <v>1</v>
      </c>
      <c r="D6" s="2" t="n">
        <v>0.947117</v>
      </c>
      <c r="E6" s="2" t="n">
        <v>0.899546</v>
      </c>
      <c r="F6" s="2" t="n">
        <v>0.937835</v>
      </c>
      <c r="G6" s="2" t="n">
        <v>0.998166</v>
      </c>
      <c r="H6" s="2" t="n">
        <v>1.999122</v>
      </c>
      <c r="I6" s="2" t="n">
        <v>293.829</v>
      </c>
      <c r="J6" s="2" t="n">
        <v>299.703</v>
      </c>
      <c r="K6" s="2" t="n">
        <v>1.732</v>
      </c>
      <c r="L6" s="2" t="n">
        <v>19.105</v>
      </c>
      <c r="M6" s="2" t="n">
        <v>0.978862</v>
      </c>
    </row>
    <row r="7" customFormat="false" ht="15" hidden="false" customHeight="false" outlineLevel="0" collapsed="false">
      <c r="A7" s="0" t="s">
        <v>13</v>
      </c>
      <c r="B7" s="0" t="s">
        <v>16</v>
      </c>
      <c r="C7" s="0" t="n">
        <v>2</v>
      </c>
      <c r="D7" s="0" t="n">
        <v>0.916574</v>
      </c>
      <c r="E7" s="0" t="n">
        <v>0.845996</v>
      </c>
      <c r="F7" s="0" t="n">
        <v>0.992947</v>
      </c>
      <c r="G7" s="0" t="n">
        <v>0.999966</v>
      </c>
      <c r="H7" s="0" t="n">
        <v>-14.284484</v>
      </c>
      <c r="I7" s="0" t="n">
        <v>58.063</v>
      </c>
      <c r="J7" s="0" t="n">
        <v>49.769</v>
      </c>
      <c r="K7" s="0" t="n">
        <v>3.606</v>
      </c>
      <c r="L7" s="0" t="n">
        <v>8.944</v>
      </c>
      <c r="M7" s="0" t="n">
        <v>0.995352</v>
      </c>
    </row>
    <row r="8" customFormat="false" ht="15" hidden="false" customHeight="false" outlineLevel="0" collapsed="false">
      <c r="A8" s="2" t="s">
        <v>13</v>
      </c>
      <c r="B8" s="2" t="s">
        <v>17</v>
      </c>
      <c r="C8" s="2" t="n">
        <v>1</v>
      </c>
      <c r="D8" s="2" t="n">
        <v>0.962521</v>
      </c>
      <c r="E8" s="2" t="n">
        <v>0.927749</v>
      </c>
      <c r="F8" s="2" t="n">
        <v>0.968823</v>
      </c>
      <c r="G8" s="2" t="n">
        <v>0.998876</v>
      </c>
      <c r="H8" s="2" t="n">
        <v>-1.292691</v>
      </c>
      <c r="I8" s="2" t="n">
        <v>462.833</v>
      </c>
      <c r="J8" s="2" t="n">
        <v>456.85</v>
      </c>
      <c r="K8" s="2" t="n">
        <v>1.414</v>
      </c>
      <c r="L8" s="2" t="n">
        <v>17</v>
      </c>
      <c r="M8" s="2" t="n">
        <v>0.982362</v>
      </c>
    </row>
    <row r="9" customFormat="false" ht="15" hidden="false" customHeight="false" outlineLevel="0" collapsed="false">
      <c r="A9" s="0" t="s">
        <v>13</v>
      </c>
      <c r="B9" s="0" t="s">
        <v>17</v>
      </c>
      <c r="C9" s="0" t="n">
        <v>2</v>
      </c>
      <c r="D9" s="0" t="n">
        <v>0.946263</v>
      </c>
      <c r="E9" s="0" t="n">
        <v>0.898006</v>
      </c>
      <c r="F9" s="0" t="n">
        <v>0.922888</v>
      </c>
      <c r="G9" s="0" t="n">
        <v>0.999475</v>
      </c>
      <c r="H9" s="0" t="n">
        <v>5.197143</v>
      </c>
      <c r="I9" s="0" t="n">
        <v>84.431</v>
      </c>
      <c r="J9" s="0" t="n">
        <v>88.819</v>
      </c>
      <c r="K9" s="0" t="n">
        <v>2.236</v>
      </c>
      <c r="L9" s="0" t="n">
        <v>4.123</v>
      </c>
      <c r="M9" s="0" t="n">
        <v>0.995685</v>
      </c>
    </row>
    <row r="10" customFormat="false" ht="15" hidden="false" customHeight="false" outlineLevel="0" collapsed="false">
      <c r="A10" s="2" t="s">
        <v>13</v>
      </c>
      <c r="B10" s="2" t="s">
        <v>18</v>
      </c>
      <c r="C10" s="2" t="n">
        <v>1</v>
      </c>
      <c r="D10" s="2" t="n">
        <v>0.946982</v>
      </c>
      <c r="E10" s="2" t="n">
        <v>0.899303</v>
      </c>
      <c r="F10" s="2" t="n">
        <v>0.94757</v>
      </c>
      <c r="G10" s="2" t="n">
        <v>0.998374</v>
      </c>
      <c r="H10" s="2" t="n">
        <v>-0.123941</v>
      </c>
      <c r="I10" s="2" t="n">
        <v>306.597</v>
      </c>
      <c r="J10" s="2" t="n">
        <v>306.217</v>
      </c>
      <c r="K10" s="2" t="n">
        <v>2</v>
      </c>
      <c r="L10" s="2" t="n">
        <v>8.718</v>
      </c>
      <c r="M10" s="2" t="n">
        <v>0.979761</v>
      </c>
    </row>
    <row r="11" customFormat="false" ht="15" hidden="false" customHeight="false" outlineLevel="0" collapsed="false">
      <c r="A11" s="0" t="s">
        <v>13</v>
      </c>
      <c r="B11" s="0" t="s">
        <v>18</v>
      </c>
      <c r="C11" s="0" t="n">
        <v>2</v>
      </c>
      <c r="D11" s="0" t="n">
        <v>0.820447</v>
      </c>
      <c r="E11" s="0" t="n">
        <v>0.695557</v>
      </c>
      <c r="F11" s="0" t="n">
        <v>0.724084</v>
      </c>
      <c r="G11" s="0" t="n">
        <v>0.999845</v>
      </c>
      <c r="H11" s="0" t="n">
        <v>30.702555</v>
      </c>
      <c r="I11" s="0" t="n">
        <v>4.384</v>
      </c>
      <c r="J11" s="0" t="n">
        <v>5.73</v>
      </c>
      <c r="K11" s="0" t="n">
        <v>3.162</v>
      </c>
      <c r="L11" s="0" t="n">
        <v>4.583</v>
      </c>
      <c r="M11" s="0" t="n">
        <v>0.99897</v>
      </c>
    </row>
    <row r="12" customFormat="false" ht="15" hidden="false" customHeight="false" outlineLevel="0" collapsed="false">
      <c r="A12" s="2" t="s">
        <v>13</v>
      </c>
      <c r="B12" s="2" t="s">
        <v>19</v>
      </c>
      <c r="C12" s="2" t="n">
        <v>1</v>
      </c>
      <c r="D12" s="2" t="n">
        <v>0.956665</v>
      </c>
      <c r="E12" s="2" t="n">
        <v>0.91693</v>
      </c>
      <c r="F12" s="2" t="n">
        <v>0.950286</v>
      </c>
      <c r="G12" s="2" t="n">
        <v>0.998393</v>
      </c>
      <c r="H12" s="2" t="n">
        <v>1.351639</v>
      </c>
      <c r="I12" s="2" t="n">
        <v>357.64</v>
      </c>
      <c r="J12" s="2" t="n">
        <v>362.474</v>
      </c>
      <c r="K12" s="2" t="n">
        <v>1.414</v>
      </c>
      <c r="L12" s="2" t="n">
        <v>7.55</v>
      </c>
      <c r="M12" s="2" t="n">
        <v>0.98244</v>
      </c>
    </row>
    <row r="13" customFormat="false" ht="15" hidden="false" customHeight="false" outlineLevel="0" collapsed="false">
      <c r="A13" s="0" t="s">
        <v>13</v>
      </c>
      <c r="B13" s="0" t="s">
        <v>19</v>
      </c>
      <c r="C13" s="0" t="n">
        <v>2</v>
      </c>
      <c r="D13" s="0" t="n">
        <v>0.895578</v>
      </c>
      <c r="E13" s="0" t="n">
        <v>0.810901</v>
      </c>
      <c r="F13" s="0" t="n">
        <v>0.973759</v>
      </c>
      <c r="G13" s="0" t="n">
        <v>0.999985</v>
      </c>
      <c r="H13" s="0" t="n">
        <v>-14.864179</v>
      </c>
      <c r="I13" s="0" t="n">
        <v>7.878</v>
      </c>
      <c r="J13" s="0" t="n">
        <v>6.707</v>
      </c>
      <c r="K13" s="0" t="n">
        <v>2</v>
      </c>
      <c r="L13" s="0" t="n">
        <v>3.317</v>
      </c>
      <c r="M13" s="0" t="n">
        <v>0.999103</v>
      </c>
    </row>
    <row r="14" customFormat="false" ht="15" hidden="false" customHeight="false" outlineLevel="0" collapsed="false">
      <c r="A14" s="2" t="s">
        <v>13</v>
      </c>
      <c r="B14" s="2" t="s">
        <v>20</v>
      </c>
      <c r="C14" s="2" t="n">
        <v>1</v>
      </c>
      <c r="D14" s="2" t="n">
        <v>0.934147</v>
      </c>
      <c r="E14" s="2" t="n">
        <v>0.876432</v>
      </c>
      <c r="F14" s="2" t="n">
        <v>0.936471</v>
      </c>
      <c r="G14" s="2" t="n">
        <v>0.998241</v>
      </c>
      <c r="H14" s="2" t="n">
        <v>-0.495134</v>
      </c>
      <c r="I14" s="2" t="n">
        <v>274.875</v>
      </c>
      <c r="J14" s="2" t="n">
        <v>273.514</v>
      </c>
      <c r="K14" s="2" t="n">
        <v>2.236</v>
      </c>
      <c r="L14" s="2" t="n">
        <v>11.18</v>
      </c>
      <c r="M14" s="2" t="n">
        <v>0.979875</v>
      </c>
    </row>
    <row r="15" customFormat="false" ht="15" hidden="false" customHeight="false" outlineLevel="0" collapsed="false">
      <c r="A15" s="0" t="s">
        <v>13</v>
      </c>
      <c r="B15" s="0" t="s">
        <v>20</v>
      </c>
      <c r="C15" s="0" t="n">
        <v>2</v>
      </c>
      <c r="D15" s="0" t="n">
        <v>0</v>
      </c>
      <c r="E15" s="0" t="n">
        <v>0</v>
      </c>
      <c r="G15" s="0" t="n">
        <v>1</v>
      </c>
      <c r="H15" s="0" t="n">
        <v>-100</v>
      </c>
      <c r="I15" s="0" t="n">
        <v>4.594</v>
      </c>
      <c r="J15" s="0" t="n">
        <v>0</v>
      </c>
      <c r="M15" s="0" t="n">
        <v>0.998581</v>
      </c>
    </row>
    <row r="16" customFormat="false" ht="15" hidden="false" customHeight="false" outlineLevel="0" collapsed="false">
      <c r="A16" s="2" t="s">
        <v>13</v>
      </c>
      <c r="B16" s="2" t="s">
        <v>21</v>
      </c>
      <c r="C16" s="2" t="n">
        <v>1</v>
      </c>
      <c r="D16" s="2" t="n">
        <v>0.941731</v>
      </c>
      <c r="E16" s="2" t="n">
        <v>0.889878</v>
      </c>
      <c r="F16" s="2" t="n">
        <v>0.939752</v>
      </c>
      <c r="G16" s="2" t="n">
        <v>0.998187</v>
      </c>
      <c r="H16" s="2" t="n">
        <v>0.422008</v>
      </c>
      <c r="I16" s="2" t="n">
        <v>206.868</v>
      </c>
      <c r="J16" s="2" t="n">
        <v>207.741</v>
      </c>
      <c r="K16" s="2" t="n">
        <v>2</v>
      </c>
      <c r="L16" s="2" t="n">
        <v>17</v>
      </c>
      <c r="M16" s="2" t="n">
        <v>0.97539</v>
      </c>
    </row>
    <row r="17" customFormat="false" ht="15" hidden="false" customHeight="false" outlineLevel="0" collapsed="false">
      <c r="A17" s="0" t="s">
        <v>13</v>
      </c>
      <c r="B17" s="0" t="s">
        <v>21</v>
      </c>
      <c r="C17" s="0" t="n">
        <v>2</v>
      </c>
      <c r="D17" s="0" t="n">
        <v>0.953228</v>
      </c>
      <c r="E17" s="0" t="n">
        <v>0.910637</v>
      </c>
      <c r="F17" s="0" t="n">
        <v>0.990471</v>
      </c>
      <c r="G17" s="0" t="n">
        <v>0.999938</v>
      </c>
      <c r="H17" s="0" t="n">
        <v>-7.24769</v>
      </c>
      <c r="I17" s="0" t="n">
        <v>49.671</v>
      </c>
      <c r="J17" s="0" t="n">
        <v>46.071</v>
      </c>
      <c r="K17" s="0" t="n">
        <v>1.732</v>
      </c>
      <c r="L17" s="0" t="n">
        <v>3.606</v>
      </c>
      <c r="M17" s="0" t="n">
        <v>0.995741</v>
      </c>
    </row>
    <row r="18" customFormat="false" ht="15" hidden="false" customHeight="false" outlineLevel="0" collapsed="false">
      <c r="A18" s="2" t="s">
        <v>13</v>
      </c>
      <c r="B18" s="2" t="s">
        <v>22</v>
      </c>
      <c r="C18" s="2" t="n">
        <v>1</v>
      </c>
      <c r="D18" s="2" t="n">
        <v>0.929484</v>
      </c>
      <c r="E18" s="2" t="n">
        <v>0.868258</v>
      </c>
      <c r="F18" s="2" t="n">
        <v>0.913741</v>
      </c>
      <c r="G18" s="2" t="n">
        <v>0.996433</v>
      </c>
      <c r="H18" s="2" t="n">
        <v>3.506302</v>
      </c>
      <c r="I18" s="2" t="n">
        <v>409.805</v>
      </c>
      <c r="J18" s="2" t="n">
        <v>424.174</v>
      </c>
      <c r="K18" s="2" t="n">
        <v>2</v>
      </c>
      <c r="L18" s="2" t="n">
        <v>14.457</v>
      </c>
      <c r="M18" s="2" t="n">
        <v>0.972836</v>
      </c>
    </row>
    <row r="19" customFormat="false" ht="15" hidden="false" customHeight="false" outlineLevel="0" collapsed="false">
      <c r="A19" s="0" t="s">
        <v>13</v>
      </c>
      <c r="B19" s="0" t="s">
        <v>22</v>
      </c>
      <c r="C19" s="0" t="n">
        <v>2</v>
      </c>
      <c r="D19" s="0" t="n">
        <v>0.266166</v>
      </c>
      <c r="E19" s="0" t="n">
        <v>0.153513</v>
      </c>
      <c r="F19" s="0" t="n">
        <v>0.941583</v>
      </c>
      <c r="G19" s="0" t="n">
        <v>0.999979</v>
      </c>
      <c r="H19" s="0" t="n">
        <v>-83.53949</v>
      </c>
      <c r="I19" s="0" t="n">
        <v>22.879</v>
      </c>
      <c r="J19" s="0" t="n">
        <v>3.766</v>
      </c>
      <c r="K19" s="0" t="n">
        <v>22.913</v>
      </c>
      <c r="L19" s="0" t="n">
        <v>26.476</v>
      </c>
      <c r="M19" s="0" t="n">
        <v>0.995668</v>
      </c>
    </row>
    <row r="20" customFormat="false" ht="15" hidden="false" customHeight="false" outlineLevel="0" collapsed="false">
      <c r="A20" s="2" t="s">
        <v>13</v>
      </c>
      <c r="B20" s="2" t="s">
        <v>23</v>
      </c>
      <c r="C20" s="2" t="n">
        <v>1</v>
      </c>
      <c r="D20" s="2" t="n">
        <v>0.94305</v>
      </c>
      <c r="E20" s="2" t="n">
        <v>0.892238</v>
      </c>
      <c r="F20" s="2" t="n">
        <v>0.936124</v>
      </c>
      <c r="G20" s="2" t="n">
        <v>0.998023</v>
      </c>
      <c r="H20" s="2" t="n">
        <v>1.490802</v>
      </c>
      <c r="I20" s="2" t="n">
        <v>319.09</v>
      </c>
      <c r="J20" s="2" t="n">
        <v>323.847</v>
      </c>
      <c r="K20" s="2" t="n">
        <v>2</v>
      </c>
      <c r="L20" s="2" t="n">
        <v>10.198</v>
      </c>
      <c r="M20" s="2" t="n">
        <v>0.978011</v>
      </c>
    </row>
    <row r="21" customFormat="false" ht="15" hidden="false" customHeight="false" outlineLevel="0" collapsed="false">
      <c r="A21" s="0" t="s">
        <v>13</v>
      </c>
      <c r="B21" s="0" t="s">
        <v>23</v>
      </c>
      <c r="C21" s="0" t="n">
        <v>2</v>
      </c>
      <c r="D21" s="0" t="n">
        <v>0.8849</v>
      </c>
      <c r="E21" s="0" t="n">
        <v>0.793561</v>
      </c>
      <c r="F21" s="0" t="n">
        <v>0.880136</v>
      </c>
      <c r="G21" s="0" t="n">
        <v>0.999938</v>
      </c>
      <c r="H21" s="0" t="n">
        <v>1.088337</v>
      </c>
      <c r="I21" s="0" t="n">
        <v>5.513</v>
      </c>
      <c r="J21" s="0" t="n">
        <v>5.573</v>
      </c>
      <c r="K21" s="0" t="n">
        <v>2</v>
      </c>
      <c r="L21" s="0" t="n">
        <v>3.162</v>
      </c>
      <c r="M21" s="0" t="n">
        <v>0.9992</v>
      </c>
    </row>
    <row r="22" customFormat="false" ht="15" hidden="false" customHeight="false" outlineLevel="0" collapsed="false">
      <c r="A22" s="2" t="s">
        <v>13</v>
      </c>
      <c r="B22" s="2" t="s">
        <v>24</v>
      </c>
      <c r="C22" s="2" t="n">
        <v>1</v>
      </c>
      <c r="D22" s="2" t="n">
        <v>0.952723</v>
      </c>
      <c r="E22" s="2" t="n">
        <v>0.909714</v>
      </c>
      <c r="F22" s="2" t="n">
        <v>0.951612</v>
      </c>
      <c r="G22" s="2" t="n">
        <v>0.998107</v>
      </c>
      <c r="H22" s="2" t="n">
        <v>0.233628</v>
      </c>
      <c r="I22" s="2" t="n">
        <v>511.496</v>
      </c>
      <c r="J22" s="2" t="n">
        <v>512.691</v>
      </c>
      <c r="K22" s="2" t="n">
        <v>1.732</v>
      </c>
      <c r="L22" s="2" t="n">
        <v>8.367</v>
      </c>
      <c r="M22" s="2" t="n">
        <v>0.976987</v>
      </c>
    </row>
    <row r="23" customFormat="false" ht="15" hidden="false" customHeight="false" outlineLevel="0" collapsed="false">
      <c r="A23" s="0" t="s">
        <v>13</v>
      </c>
      <c r="B23" s="0" t="s">
        <v>24</v>
      </c>
      <c r="C23" s="0" t="n">
        <v>2</v>
      </c>
      <c r="D23" s="0" t="n">
        <v>0.926087</v>
      </c>
      <c r="E23" s="0" t="n">
        <v>0.862348</v>
      </c>
      <c r="F23" s="0" t="n">
        <v>0.926607</v>
      </c>
      <c r="G23" s="0" t="n">
        <v>0.999885</v>
      </c>
      <c r="H23" s="0" t="n">
        <v>-0.112139</v>
      </c>
      <c r="I23" s="0" t="n">
        <v>21.402</v>
      </c>
      <c r="J23" s="0" t="n">
        <v>21.378</v>
      </c>
      <c r="K23" s="0" t="n">
        <v>2.236</v>
      </c>
      <c r="L23" s="0" t="n">
        <v>3.162</v>
      </c>
      <c r="M23" s="0" t="n">
        <v>0.998514</v>
      </c>
    </row>
    <row r="24" customFormat="false" ht="15" hidden="false" customHeight="false" outlineLevel="0" collapsed="false">
      <c r="A24" s="2" t="s">
        <v>13</v>
      </c>
      <c r="B24" s="2" t="s">
        <v>25</v>
      </c>
      <c r="C24" s="2" t="n">
        <v>1</v>
      </c>
      <c r="D24" s="2" t="n">
        <v>0.95397</v>
      </c>
      <c r="E24" s="2" t="n">
        <v>0.911992</v>
      </c>
      <c r="F24" s="2" t="n">
        <v>0.952669</v>
      </c>
      <c r="G24" s="2" t="n">
        <v>0.998637</v>
      </c>
      <c r="H24" s="2" t="n">
        <v>0.27355</v>
      </c>
      <c r="I24" s="2" t="n">
        <v>524.585</v>
      </c>
      <c r="J24" s="2" t="n">
        <v>526.02</v>
      </c>
      <c r="K24" s="2" t="n">
        <v>2</v>
      </c>
      <c r="L24" s="2" t="n">
        <v>23.367</v>
      </c>
      <c r="M24" s="2" t="n">
        <v>0.983179</v>
      </c>
    </row>
    <row r="25" customFormat="false" ht="15" hidden="false" customHeight="false" outlineLevel="0" collapsed="false">
      <c r="A25" s="0" t="s">
        <v>13</v>
      </c>
      <c r="B25" s="0" t="s">
        <v>25</v>
      </c>
      <c r="C25" s="0" t="n">
        <v>2</v>
      </c>
      <c r="D25" s="0" t="n">
        <v>0.895964</v>
      </c>
      <c r="E25" s="0" t="n">
        <v>0.811535</v>
      </c>
      <c r="F25" s="0" t="n">
        <v>0.88959</v>
      </c>
      <c r="G25" s="0" t="n">
        <v>0.999749</v>
      </c>
      <c r="H25" s="0" t="n">
        <v>1.443451</v>
      </c>
      <c r="I25" s="0" t="n">
        <v>42.052</v>
      </c>
      <c r="J25" s="0" t="n">
        <v>42.659</v>
      </c>
      <c r="K25" s="0" t="n">
        <v>3.317</v>
      </c>
      <c r="L25" s="0" t="n">
        <v>5.385</v>
      </c>
      <c r="M25" s="0" t="n">
        <v>0.997569</v>
      </c>
    </row>
    <row r="26" customFormat="false" ht="15" hidden="false" customHeight="false" outlineLevel="0" collapsed="false">
      <c r="A26" s="2" t="s">
        <v>13</v>
      </c>
      <c r="B26" s="2" t="s">
        <v>26</v>
      </c>
      <c r="C26" s="2" t="n">
        <v>1</v>
      </c>
      <c r="D26" s="2" t="n">
        <v>0.960153</v>
      </c>
      <c r="E26" s="2" t="n">
        <v>0.92336</v>
      </c>
      <c r="F26" s="2" t="n">
        <v>0.955571</v>
      </c>
      <c r="G26" s="2" t="n">
        <v>0.998511</v>
      </c>
      <c r="H26" s="2" t="n">
        <v>0.963677</v>
      </c>
      <c r="I26" s="2" t="n">
        <v>332.788</v>
      </c>
      <c r="J26" s="2" t="n">
        <v>335.995</v>
      </c>
      <c r="K26" s="2" t="n">
        <v>1.414</v>
      </c>
      <c r="L26" s="2" t="n">
        <v>9.487</v>
      </c>
      <c r="M26" s="2" t="n">
        <v>0.98284</v>
      </c>
    </row>
    <row r="27" customFormat="false" ht="15" hidden="false" customHeight="false" outlineLevel="0" collapsed="false">
      <c r="A27" s="0" t="s">
        <v>13</v>
      </c>
      <c r="B27" s="0" t="s">
        <v>26</v>
      </c>
      <c r="C27" s="0" t="n">
        <v>2</v>
      </c>
      <c r="D27" s="0" t="n">
        <v>0.658479</v>
      </c>
      <c r="E27" s="0" t="n">
        <v>0.490846</v>
      </c>
      <c r="F27" s="0" t="n">
        <v>0.993339</v>
      </c>
      <c r="G27" s="0" t="n">
        <v>0.999998</v>
      </c>
      <c r="H27" s="0" t="n">
        <v>-50.423117</v>
      </c>
      <c r="I27" s="0" t="n">
        <v>4.845</v>
      </c>
      <c r="J27" s="0" t="n">
        <v>2.402</v>
      </c>
      <c r="K27" s="0" t="n">
        <v>5</v>
      </c>
      <c r="L27" s="0" t="n">
        <v>6.708</v>
      </c>
      <c r="M27" s="0" t="n">
        <v>0.998834</v>
      </c>
    </row>
    <row r="28" customFormat="false" ht="15" hidden="false" customHeight="false" outlineLevel="0" collapsed="false">
      <c r="A28" s="2" t="s">
        <v>13</v>
      </c>
      <c r="B28" s="2" t="s">
        <v>27</v>
      </c>
      <c r="C28" s="2" t="n">
        <v>1</v>
      </c>
      <c r="D28" s="2" t="n">
        <v>0.936878</v>
      </c>
      <c r="E28" s="2" t="n">
        <v>0.881252</v>
      </c>
      <c r="F28" s="2" t="n">
        <v>0.937268</v>
      </c>
      <c r="G28" s="2" t="n">
        <v>0.998577</v>
      </c>
      <c r="H28" s="2" t="n">
        <v>-0.083143</v>
      </c>
      <c r="I28" s="2" t="n">
        <v>300.688</v>
      </c>
      <c r="J28" s="2" t="n">
        <v>300.438</v>
      </c>
      <c r="K28" s="2" t="n">
        <v>2</v>
      </c>
      <c r="L28" s="2" t="n">
        <v>18.868</v>
      </c>
      <c r="M28" s="2" t="n">
        <v>0.982339</v>
      </c>
    </row>
    <row r="29" customFormat="false" ht="15" hidden="false" customHeight="false" outlineLevel="0" collapsed="false">
      <c r="A29" s="0" t="s">
        <v>13</v>
      </c>
      <c r="B29" s="0" t="s">
        <v>27</v>
      </c>
      <c r="C29" s="0" t="n">
        <v>2</v>
      </c>
      <c r="D29" s="0" t="n">
        <v>0.895403</v>
      </c>
      <c r="E29" s="0" t="n">
        <v>0.810615</v>
      </c>
      <c r="F29" s="0" t="n">
        <v>0.853671</v>
      </c>
      <c r="G29" s="0" t="n">
        <v>0.999805</v>
      </c>
      <c r="H29" s="0" t="n">
        <v>10.279686</v>
      </c>
      <c r="I29" s="0" t="n">
        <v>16.304</v>
      </c>
      <c r="J29" s="0" t="n">
        <v>17.98</v>
      </c>
      <c r="K29" s="0" t="n">
        <v>3.742</v>
      </c>
      <c r="L29" s="0" t="n">
        <v>5.196</v>
      </c>
      <c r="M29" s="0" t="n">
        <v>0.998551</v>
      </c>
    </row>
    <row r="30" customFormat="false" ht="15" hidden="false" customHeight="false" outlineLevel="0" collapsed="false">
      <c r="A30" s="2" t="s">
        <v>13</v>
      </c>
      <c r="B30" s="2" t="s">
        <v>28</v>
      </c>
      <c r="C30" s="2" t="n">
        <v>1</v>
      </c>
      <c r="D30" s="2" t="n">
        <v>0.935006</v>
      </c>
      <c r="E30" s="2" t="n">
        <v>0.877945</v>
      </c>
      <c r="F30" s="2" t="n">
        <v>0.931377</v>
      </c>
      <c r="G30" s="2" t="n">
        <v>0.997618</v>
      </c>
      <c r="H30" s="2" t="n">
        <v>0.782425</v>
      </c>
      <c r="I30" s="2" t="n">
        <v>447.455</v>
      </c>
      <c r="J30" s="2" t="n">
        <v>450.956</v>
      </c>
      <c r="K30" s="2" t="n">
        <v>2</v>
      </c>
      <c r="L30" s="2" t="n">
        <v>12.57</v>
      </c>
      <c r="M30" s="2" t="n">
        <v>0.975737</v>
      </c>
    </row>
    <row r="31" customFormat="false" ht="15" hidden="false" customHeight="false" outlineLevel="0" collapsed="false">
      <c r="A31" s="0" t="s">
        <v>13</v>
      </c>
      <c r="B31" s="0" t="s">
        <v>28</v>
      </c>
      <c r="C31" s="0" t="n">
        <v>2</v>
      </c>
      <c r="D31" s="0" t="n">
        <v>0.656189</v>
      </c>
      <c r="E31" s="0" t="n">
        <v>0.488304</v>
      </c>
      <c r="F31" s="0" t="n">
        <v>0.599947</v>
      </c>
      <c r="G31" s="0" t="n">
        <v>0.999328</v>
      </c>
      <c r="H31" s="0" t="n">
        <v>20.688363</v>
      </c>
      <c r="I31" s="0" t="n">
        <v>18.682</v>
      </c>
      <c r="J31" s="0" t="n">
        <v>22.547</v>
      </c>
      <c r="K31" s="0" t="n">
        <v>18.841</v>
      </c>
      <c r="L31" s="0" t="n">
        <v>24.228</v>
      </c>
      <c r="M31" s="0" t="n">
        <v>0.996377</v>
      </c>
    </row>
    <row r="32" customFormat="false" ht="15" hidden="false" customHeight="false" outlineLevel="0" collapsed="false">
      <c r="A32" s="2" t="s">
        <v>29</v>
      </c>
      <c r="B32" s="2" t="s">
        <v>14</v>
      </c>
      <c r="C32" s="2" t="n">
        <v>1</v>
      </c>
      <c r="D32" s="2" t="n">
        <v>0.9384</v>
      </c>
      <c r="E32" s="2" t="n">
        <v>0.883949</v>
      </c>
      <c r="F32" s="2" t="n">
        <v>0.932382</v>
      </c>
      <c r="G32" s="2" t="n">
        <v>0.998113</v>
      </c>
      <c r="H32" s="2" t="n">
        <v>1.29938</v>
      </c>
      <c r="I32" s="2" t="n">
        <v>317.767</v>
      </c>
      <c r="J32" s="2" t="n">
        <v>321.896</v>
      </c>
      <c r="K32" s="2" t="n">
        <v>2.236</v>
      </c>
      <c r="L32" s="2" t="n">
        <v>11.314</v>
      </c>
      <c r="M32" s="2" t="n">
        <v>0.979913</v>
      </c>
    </row>
    <row r="33" customFormat="false" ht="15" hidden="false" customHeight="false" outlineLevel="0" collapsed="false">
      <c r="A33" s="0" t="s">
        <v>29</v>
      </c>
      <c r="B33" s="0" t="s">
        <v>14</v>
      </c>
      <c r="C33" s="0" t="n">
        <v>2</v>
      </c>
      <c r="D33" s="0" t="n">
        <v>0.844532</v>
      </c>
      <c r="E33" s="0" t="n">
        <v>0.7309</v>
      </c>
      <c r="F33" s="0" t="n">
        <v>0.981047</v>
      </c>
      <c r="G33" s="0" t="n">
        <v>0.999967</v>
      </c>
      <c r="H33" s="0" t="n">
        <v>-24.430804</v>
      </c>
      <c r="I33" s="0" t="n">
        <v>26.88</v>
      </c>
      <c r="J33" s="0" t="n">
        <v>20.313</v>
      </c>
      <c r="K33" s="0" t="n">
        <v>5.385</v>
      </c>
      <c r="L33" s="0" t="n">
        <v>9</v>
      </c>
      <c r="M33" s="0" t="n">
        <v>0.997329</v>
      </c>
    </row>
    <row r="34" customFormat="false" ht="15" hidden="false" customHeight="false" outlineLevel="0" collapsed="false">
      <c r="A34" s="2" t="s">
        <v>29</v>
      </c>
      <c r="B34" s="2" t="s">
        <v>15</v>
      </c>
      <c r="C34" s="2" t="n">
        <v>1</v>
      </c>
      <c r="D34" s="2" t="n">
        <v>0.919329</v>
      </c>
      <c r="E34" s="2" t="n">
        <v>0.850702</v>
      </c>
      <c r="F34" s="2" t="n">
        <v>0.950266</v>
      </c>
      <c r="G34" s="2" t="n">
        <v>0.998288</v>
      </c>
      <c r="H34" s="2" t="n">
        <v>-6.305836</v>
      </c>
      <c r="I34" s="2" t="n">
        <v>562.812</v>
      </c>
      <c r="J34" s="2" t="n">
        <v>527.322</v>
      </c>
      <c r="K34" s="2" t="n">
        <v>13.342</v>
      </c>
      <c r="L34" s="2" t="n">
        <v>53.235</v>
      </c>
      <c r="M34" s="2" t="n">
        <v>0.970844</v>
      </c>
    </row>
    <row r="35" customFormat="false" ht="15" hidden="false" customHeight="false" outlineLevel="0" collapsed="false">
      <c r="A35" s="0" t="s">
        <v>29</v>
      </c>
      <c r="B35" s="0" t="s">
        <v>15</v>
      </c>
      <c r="C35" s="0" t="n">
        <v>2</v>
      </c>
      <c r="D35" s="0" t="n">
        <v>0.823698</v>
      </c>
      <c r="E35" s="0" t="n">
        <v>0.700244</v>
      </c>
      <c r="F35" s="0" t="n">
        <v>0.924909</v>
      </c>
      <c r="G35" s="0" t="n">
        <v>0.999387</v>
      </c>
      <c r="H35" s="0" t="n">
        <v>-19.726832</v>
      </c>
      <c r="I35" s="0" t="n">
        <v>159.975</v>
      </c>
      <c r="J35" s="0" t="n">
        <v>128.417</v>
      </c>
      <c r="K35" s="0" t="n">
        <v>15.067</v>
      </c>
      <c r="L35" s="0" t="n">
        <v>23.707</v>
      </c>
      <c r="M35" s="0" t="n">
        <v>0.990182</v>
      </c>
    </row>
    <row r="36" customFormat="false" ht="15" hidden="false" customHeight="false" outlineLevel="0" collapsed="false">
      <c r="A36" s="2" t="s">
        <v>29</v>
      </c>
      <c r="B36" s="2" t="s">
        <v>16</v>
      </c>
      <c r="C36" s="2" t="n">
        <v>1</v>
      </c>
      <c r="D36" s="2" t="n">
        <v>0.888531</v>
      </c>
      <c r="E36" s="2" t="n">
        <v>0.79942</v>
      </c>
      <c r="F36" s="2" t="n">
        <v>0.827416</v>
      </c>
      <c r="G36" s="2" t="n">
        <v>0.994212</v>
      </c>
      <c r="H36" s="2" t="n">
        <v>15.950774</v>
      </c>
      <c r="I36" s="2" t="n">
        <v>293.829</v>
      </c>
      <c r="J36" s="2" t="n">
        <v>340.697</v>
      </c>
      <c r="K36" s="2" t="n">
        <v>4.123</v>
      </c>
      <c r="L36" s="2" t="n">
        <v>19.209</v>
      </c>
      <c r="M36" s="2" t="n">
        <v>0.973787</v>
      </c>
    </row>
    <row r="37" customFormat="false" ht="15" hidden="false" customHeight="false" outlineLevel="0" collapsed="false">
      <c r="A37" s="0" t="s">
        <v>29</v>
      </c>
      <c r="B37" s="0" t="s">
        <v>16</v>
      </c>
      <c r="C37" s="0" t="n">
        <v>2</v>
      </c>
      <c r="D37" s="0" t="n">
        <v>0.342898</v>
      </c>
      <c r="E37" s="0" t="n">
        <v>0.206926</v>
      </c>
      <c r="F37" s="0" t="n">
        <v>0.999501</v>
      </c>
      <c r="G37" s="0" t="n">
        <v>0.999999</v>
      </c>
      <c r="H37" s="0" t="n">
        <v>-79.294904</v>
      </c>
      <c r="I37" s="0" t="n">
        <v>58.063</v>
      </c>
      <c r="J37" s="0" t="n">
        <v>12.022</v>
      </c>
      <c r="K37" s="0" t="n">
        <v>22.136</v>
      </c>
      <c r="L37" s="0" t="n">
        <v>28.531</v>
      </c>
      <c r="M37" s="0" t="n">
        <v>0.989956</v>
      </c>
    </row>
    <row r="38" customFormat="false" ht="15" hidden="false" customHeight="false" outlineLevel="0" collapsed="false">
      <c r="A38" s="2" t="s">
        <v>29</v>
      </c>
      <c r="B38" s="2" t="s">
        <v>17</v>
      </c>
      <c r="C38" s="2" t="n">
        <v>1</v>
      </c>
      <c r="D38" s="2" t="n">
        <v>0.957961</v>
      </c>
      <c r="E38" s="2" t="n">
        <v>0.919315</v>
      </c>
      <c r="F38" s="2" t="n">
        <v>0.968186</v>
      </c>
      <c r="G38" s="2" t="n">
        <v>0.998862</v>
      </c>
      <c r="H38" s="2" t="n">
        <v>-2.089955</v>
      </c>
      <c r="I38" s="2" t="n">
        <v>462.833</v>
      </c>
      <c r="J38" s="2" t="n">
        <v>453.16</v>
      </c>
      <c r="K38" s="2" t="n">
        <v>2</v>
      </c>
      <c r="L38" s="2" t="n">
        <v>22.738</v>
      </c>
      <c r="M38" s="2" t="n">
        <v>0.980735</v>
      </c>
    </row>
    <row r="39" customFormat="false" ht="15" hidden="false" customHeight="false" outlineLevel="0" collapsed="false">
      <c r="A39" s="0" t="s">
        <v>29</v>
      </c>
      <c r="B39" s="0" t="s">
        <v>17</v>
      </c>
      <c r="C39" s="0" t="n">
        <v>2</v>
      </c>
      <c r="D39" s="0" t="n">
        <v>0.725989</v>
      </c>
      <c r="E39" s="0" t="n">
        <v>0.569845</v>
      </c>
      <c r="F39" s="0" t="n">
        <v>0.956235</v>
      </c>
      <c r="G39" s="0" t="n">
        <v>0.999827</v>
      </c>
      <c r="H39" s="0" t="n">
        <v>-38.811574</v>
      </c>
      <c r="I39" s="0" t="n">
        <v>84.431</v>
      </c>
      <c r="J39" s="0" t="n">
        <v>51.662</v>
      </c>
      <c r="K39" s="0" t="n">
        <v>13</v>
      </c>
      <c r="L39" s="0" t="n">
        <v>21.024</v>
      </c>
      <c r="M39" s="0" t="n">
        <v>0.992007</v>
      </c>
    </row>
    <row r="40" customFormat="false" ht="15" hidden="false" customHeight="false" outlineLevel="0" collapsed="false">
      <c r="A40" s="2" t="s">
        <v>29</v>
      </c>
      <c r="B40" s="2" t="s">
        <v>18</v>
      </c>
      <c r="C40" s="2" t="n">
        <v>1</v>
      </c>
      <c r="D40" s="2" t="n">
        <v>0.945096</v>
      </c>
      <c r="E40" s="2" t="n">
        <v>0.895908</v>
      </c>
      <c r="F40" s="2" t="n">
        <v>0.949733</v>
      </c>
      <c r="G40" s="2" t="n">
        <v>0.998454</v>
      </c>
      <c r="H40" s="2" t="n">
        <v>-0.971634</v>
      </c>
      <c r="I40" s="2" t="n">
        <v>306.597</v>
      </c>
      <c r="J40" s="2" t="n">
        <v>303.618</v>
      </c>
      <c r="K40" s="2" t="n">
        <v>2</v>
      </c>
      <c r="L40" s="2" t="n">
        <v>7</v>
      </c>
      <c r="M40" s="2" t="n">
        <v>0.979373</v>
      </c>
    </row>
    <row r="41" customFormat="false" ht="15" hidden="false" customHeight="false" outlineLevel="0" collapsed="false">
      <c r="A41" s="0" t="s">
        <v>29</v>
      </c>
      <c r="B41" s="0" t="s">
        <v>18</v>
      </c>
      <c r="C41" s="0" t="n">
        <v>2</v>
      </c>
      <c r="D41" s="0" t="n">
        <v>0.594213</v>
      </c>
      <c r="E41" s="0" t="n">
        <v>0.422691</v>
      </c>
      <c r="F41" s="0" t="n">
        <v>0.7559</v>
      </c>
      <c r="G41" s="0" t="n">
        <v>0.999932</v>
      </c>
      <c r="H41" s="0" t="n">
        <v>-35.241788</v>
      </c>
      <c r="I41" s="0" t="n">
        <v>4.384</v>
      </c>
      <c r="J41" s="0" t="n">
        <v>2.839</v>
      </c>
      <c r="K41" s="0" t="n">
        <v>6.164</v>
      </c>
      <c r="L41" s="0" t="n">
        <v>8.062</v>
      </c>
      <c r="M41" s="0" t="n">
        <v>0.998737</v>
      </c>
    </row>
    <row r="42" customFormat="false" ht="15" hidden="false" customHeight="false" outlineLevel="0" collapsed="false">
      <c r="A42" s="2" t="s">
        <v>29</v>
      </c>
      <c r="B42" s="2" t="s">
        <v>19</v>
      </c>
      <c r="C42" s="2" t="n">
        <v>1</v>
      </c>
      <c r="D42" s="2" t="n">
        <v>0.942</v>
      </c>
      <c r="E42" s="2" t="n">
        <v>0.890359</v>
      </c>
      <c r="F42" s="2" t="n">
        <v>0.935155</v>
      </c>
      <c r="G42" s="2" t="n">
        <v>0.997902</v>
      </c>
      <c r="H42" s="2" t="n">
        <v>1.474667</v>
      </c>
      <c r="I42" s="2" t="n">
        <v>357.64</v>
      </c>
      <c r="J42" s="2" t="n">
        <v>362.914</v>
      </c>
      <c r="K42" s="2" t="n">
        <v>2.236</v>
      </c>
      <c r="L42" s="2" t="n">
        <v>58.189</v>
      </c>
      <c r="M42" s="2" t="n">
        <v>0.979473</v>
      </c>
    </row>
    <row r="43" customFormat="false" ht="15" hidden="false" customHeight="false" outlineLevel="0" collapsed="false">
      <c r="A43" s="0" t="s">
        <v>29</v>
      </c>
      <c r="B43" s="0" t="s">
        <v>19</v>
      </c>
      <c r="C43" s="0" t="n">
        <v>2</v>
      </c>
      <c r="D43" s="0" t="n">
        <v>0.054566</v>
      </c>
      <c r="E43" s="0" t="n">
        <v>0.028048</v>
      </c>
      <c r="F43" s="0" t="n">
        <v>0.857143</v>
      </c>
      <c r="G43" s="0" t="n">
        <v>0.999997</v>
      </c>
      <c r="H43" s="0" t="n">
        <v>-96.712364</v>
      </c>
      <c r="I43" s="0" t="n">
        <v>7.878</v>
      </c>
      <c r="J43" s="0" t="n">
        <v>0.259</v>
      </c>
      <c r="K43" s="0" t="n">
        <v>14.034</v>
      </c>
      <c r="L43" s="0" t="n">
        <v>20.616</v>
      </c>
      <c r="M43" s="0" t="n">
        <v>0.998071</v>
      </c>
    </row>
    <row r="44" customFormat="false" ht="15" hidden="false" customHeight="false" outlineLevel="0" collapsed="false">
      <c r="A44" s="2" t="s">
        <v>29</v>
      </c>
      <c r="B44" s="2" t="s">
        <v>20</v>
      </c>
      <c r="C44" s="2" t="n">
        <v>1</v>
      </c>
      <c r="D44" s="2" t="n">
        <v>0.933533</v>
      </c>
      <c r="E44" s="2" t="n">
        <v>0.875351</v>
      </c>
      <c r="F44" s="2" t="n">
        <v>0.927315</v>
      </c>
      <c r="G44" s="2" t="n">
        <v>0.99795</v>
      </c>
      <c r="H44" s="2" t="n">
        <v>1.350068</v>
      </c>
      <c r="I44" s="2" t="n">
        <v>274.875</v>
      </c>
      <c r="J44" s="2" t="n">
        <v>278.586</v>
      </c>
      <c r="K44" s="2" t="n">
        <v>2</v>
      </c>
      <c r="L44" s="2" t="n">
        <v>14.142</v>
      </c>
      <c r="M44" s="2" t="n">
        <v>0.978938</v>
      </c>
    </row>
    <row r="45" customFormat="false" ht="15" hidden="false" customHeight="false" outlineLevel="0" collapsed="false">
      <c r="A45" s="0" t="s">
        <v>29</v>
      </c>
      <c r="B45" s="0" t="s">
        <v>20</v>
      </c>
      <c r="C45" s="0" t="n">
        <v>2</v>
      </c>
      <c r="D45" s="0" t="n">
        <v>0</v>
      </c>
      <c r="E45" s="0" t="n">
        <v>0</v>
      </c>
      <c r="G45" s="0" t="n">
        <v>1</v>
      </c>
      <c r="H45" s="0" t="n">
        <v>-100</v>
      </c>
      <c r="I45" s="0" t="n">
        <v>4.594</v>
      </c>
      <c r="J45" s="0" t="n">
        <v>0</v>
      </c>
      <c r="M45" s="0" t="n">
        <v>0.998581</v>
      </c>
    </row>
    <row r="46" customFormat="false" ht="15" hidden="false" customHeight="false" outlineLevel="0" collapsed="false">
      <c r="A46" s="2" t="s">
        <v>29</v>
      </c>
      <c r="B46" s="2" t="s">
        <v>21</v>
      </c>
      <c r="C46" s="2" t="n">
        <v>1</v>
      </c>
      <c r="D46" s="2" t="n">
        <v>0.843144</v>
      </c>
      <c r="E46" s="2" t="n">
        <v>0.728824</v>
      </c>
      <c r="F46" s="2" t="n">
        <v>0.758215</v>
      </c>
      <c r="G46" s="2" t="n">
        <v>0.990926</v>
      </c>
      <c r="H46" s="2" t="n">
        <v>25.228165</v>
      </c>
      <c r="I46" s="2" t="n">
        <v>206.868</v>
      </c>
      <c r="J46" s="2" t="n">
        <v>259.057</v>
      </c>
      <c r="K46" s="2" t="n">
        <v>4.123</v>
      </c>
      <c r="L46" s="2" t="n">
        <v>33.076</v>
      </c>
      <c r="M46" s="2" t="n">
        <v>0.967485</v>
      </c>
    </row>
    <row r="47" customFormat="false" ht="15" hidden="false" customHeight="false" outlineLevel="0" collapsed="false">
      <c r="A47" s="0" t="s">
        <v>29</v>
      </c>
      <c r="B47" s="0" t="s">
        <v>21</v>
      </c>
      <c r="C47" s="0" t="n">
        <v>2</v>
      </c>
      <c r="D47" s="0" t="n">
        <v>0.00169</v>
      </c>
      <c r="E47" s="0" t="n">
        <v>0.000846</v>
      </c>
      <c r="F47" s="0" t="n">
        <v>1</v>
      </c>
      <c r="G47" s="0" t="n">
        <v>1</v>
      </c>
      <c r="H47" s="0" t="n">
        <v>-99.915444</v>
      </c>
      <c r="I47" s="0" t="n">
        <v>49.671</v>
      </c>
      <c r="J47" s="0" t="n">
        <v>0.042</v>
      </c>
      <c r="K47" s="0" t="n">
        <v>40.509</v>
      </c>
      <c r="L47" s="0" t="n">
        <v>43.463</v>
      </c>
      <c r="M47" s="0" t="n">
        <v>0.986871</v>
      </c>
    </row>
    <row r="48" customFormat="false" ht="15" hidden="false" customHeight="false" outlineLevel="0" collapsed="false">
      <c r="A48" s="2" t="s">
        <v>29</v>
      </c>
      <c r="B48" s="2" t="s">
        <v>22</v>
      </c>
      <c r="C48" s="2" t="n">
        <v>1</v>
      </c>
      <c r="D48" s="2" t="n">
        <v>0.925846</v>
      </c>
      <c r="E48" s="2" t="n">
        <v>0.861931</v>
      </c>
      <c r="F48" s="2" t="n">
        <v>0.920356</v>
      </c>
      <c r="G48" s="2" t="n">
        <v>0.99678</v>
      </c>
      <c r="H48" s="2" t="n">
        <v>1.200083</v>
      </c>
      <c r="I48" s="2" t="n">
        <v>409.805</v>
      </c>
      <c r="J48" s="2" t="n">
        <v>414.723</v>
      </c>
      <c r="K48" s="2" t="n">
        <v>2.449</v>
      </c>
      <c r="L48" s="2" t="n">
        <v>14.353</v>
      </c>
      <c r="M48" s="2" t="n">
        <v>0.971056</v>
      </c>
    </row>
    <row r="49" customFormat="false" ht="15" hidden="false" customHeight="false" outlineLevel="0" collapsed="false">
      <c r="A49" s="0" t="s">
        <v>29</v>
      </c>
      <c r="B49" s="0" t="s">
        <v>22</v>
      </c>
      <c r="C49" s="0" t="n">
        <v>2</v>
      </c>
      <c r="D49" s="0" t="n">
        <v>0.255243</v>
      </c>
      <c r="E49" s="0" t="n">
        <v>0.146291</v>
      </c>
      <c r="F49" s="0" t="n">
        <v>1</v>
      </c>
      <c r="G49" s="0" t="n">
        <v>1</v>
      </c>
      <c r="H49" s="0" t="n">
        <v>-85.370864</v>
      </c>
      <c r="I49" s="0" t="n">
        <v>22.879</v>
      </c>
      <c r="J49" s="0" t="n">
        <v>3.347</v>
      </c>
      <c r="K49" s="0" t="n">
        <v>18.118</v>
      </c>
      <c r="L49" s="0" t="n">
        <v>21.401</v>
      </c>
      <c r="M49" s="0" t="n">
        <v>0.995564</v>
      </c>
    </row>
    <row r="50" customFormat="false" ht="15" hidden="false" customHeight="false" outlineLevel="0" collapsed="false">
      <c r="A50" s="2" t="s">
        <v>29</v>
      </c>
      <c r="B50" s="2" t="s">
        <v>23</v>
      </c>
      <c r="C50" s="2" t="n">
        <v>1</v>
      </c>
      <c r="D50" s="2" t="n">
        <v>0.935944</v>
      </c>
      <c r="E50" s="2" t="n">
        <v>0.879601</v>
      </c>
      <c r="F50" s="2" t="n">
        <v>0.932922</v>
      </c>
      <c r="G50" s="2" t="n">
        <v>0.997941</v>
      </c>
      <c r="H50" s="2" t="n">
        <v>0.649973</v>
      </c>
      <c r="I50" s="2" t="n">
        <v>319.09</v>
      </c>
      <c r="J50" s="2" t="n">
        <v>321.164</v>
      </c>
      <c r="K50" s="2" t="n">
        <v>2</v>
      </c>
      <c r="L50" s="2" t="n">
        <v>9.695</v>
      </c>
      <c r="M50" s="2" t="n">
        <v>0.977068</v>
      </c>
    </row>
    <row r="51" customFormat="false" ht="15" hidden="false" customHeight="false" outlineLevel="0" collapsed="false">
      <c r="A51" s="0" t="s">
        <v>29</v>
      </c>
      <c r="B51" s="0" t="s">
        <v>23</v>
      </c>
      <c r="C51" s="0" t="n">
        <v>2</v>
      </c>
      <c r="D51" s="0" t="n">
        <v>0.277899</v>
      </c>
      <c r="E51" s="0" t="n">
        <v>0.161372</v>
      </c>
      <c r="F51" s="0" t="n">
        <v>0.970684</v>
      </c>
      <c r="G51" s="0" t="n">
        <v>0.999997</v>
      </c>
      <c r="H51" s="0" t="n">
        <v>-83.294032</v>
      </c>
      <c r="I51" s="0" t="n">
        <v>5.513</v>
      </c>
      <c r="J51" s="0" t="n">
        <v>0.921</v>
      </c>
      <c r="K51" s="0" t="n">
        <v>11</v>
      </c>
      <c r="L51" s="0" t="n">
        <v>12</v>
      </c>
      <c r="M51" s="0" t="n">
        <v>0.998588</v>
      </c>
    </row>
    <row r="52" customFormat="false" ht="15" hidden="false" customHeight="false" outlineLevel="0" collapsed="false">
      <c r="A52" s="2" t="s">
        <v>29</v>
      </c>
      <c r="B52" s="2" t="s">
        <v>24</v>
      </c>
      <c r="C52" s="2" t="n">
        <v>1</v>
      </c>
      <c r="D52" s="2" t="n">
        <v>0.932177</v>
      </c>
      <c r="E52" s="2" t="n">
        <v>0.872969</v>
      </c>
      <c r="F52" s="2" t="n">
        <v>0.91708</v>
      </c>
      <c r="G52" s="2" t="n">
        <v>0.996655</v>
      </c>
      <c r="H52" s="2" t="n">
        <v>3.347436</v>
      </c>
      <c r="I52" s="2" t="n">
        <v>511.496</v>
      </c>
      <c r="J52" s="2" t="n">
        <v>528.618</v>
      </c>
      <c r="K52" s="2" t="n">
        <v>2</v>
      </c>
      <c r="L52" s="2" t="n">
        <v>15.395</v>
      </c>
      <c r="M52" s="2" t="n">
        <v>0.974577</v>
      </c>
    </row>
    <row r="53" customFormat="false" ht="15" hidden="false" customHeight="false" outlineLevel="0" collapsed="false">
      <c r="A53" s="0" t="s">
        <v>29</v>
      </c>
      <c r="B53" s="0" t="s">
        <v>24</v>
      </c>
      <c r="C53" s="0" t="n">
        <v>2</v>
      </c>
      <c r="D53" s="0" t="n">
        <v>0</v>
      </c>
      <c r="E53" s="0" t="n">
        <v>0</v>
      </c>
      <c r="G53" s="0" t="n">
        <v>1</v>
      </c>
      <c r="H53" s="0" t="n">
        <v>-100</v>
      </c>
      <c r="I53" s="0" t="n">
        <v>21.402</v>
      </c>
      <c r="J53" s="0" t="n">
        <v>0</v>
      </c>
      <c r="M53" s="0" t="n">
        <v>0.996652</v>
      </c>
    </row>
    <row r="54" customFormat="false" ht="15" hidden="false" customHeight="false" outlineLevel="0" collapsed="false">
      <c r="A54" s="2" t="s">
        <v>29</v>
      </c>
      <c r="B54" s="2" t="s">
        <v>25</v>
      </c>
      <c r="C54" s="2" t="n">
        <v>1</v>
      </c>
      <c r="D54" s="2" t="n">
        <v>0.948107</v>
      </c>
      <c r="E54" s="2" t="n">
        <v>0.901334</v>
      </c>
      <c r="F54" s="2" t="n">
        <v>0.949341</v>
      </c>
      <c r="G54" s="2" t="n">
        <v>0.998549</v>
      </c>
      <c r="H54" s="2" t="n">
        <v>-0.259634</v>
      </c>
      <c r="I54" s="2" t="n">
        <v>524.585</v>
      </c>
      <c r="J54" s="2" t="n">
        <v>523.223</v>
      </c>
      <c r="K54" s="2" t="n">
        <v>2.236</v>
      </c>
      <c r="L54" s="2" t="n">
        <v>26.019</v>
      </c>
      <c r="M54" s="2" t="n">
        <v>0.982039</v>
      </c>
    </row>
    <row r="55" customFormat="false" ht="15" hidden="false" customHeight="false" outlineLevel="0" collapsed="false">
      <c r="A55" s="0" t="s">
        <v>29</v>
      </c>
      <c r="B55" s="0" t="s">
        <v>25</v>
      </c>
      <c r="C55" s="0" t="n">
        <v>2</v>
      </c>
      <c r="D55" s="0" t="n">
        <v>0.823552</v>
      </c>
      <c r="E55" s="0" t="n">
        <v>0.700033</v>
      </c>
      <c r="F55" s="0" t="n">
        <v>0.828437</v>
      </c>
      <c r="G55" s="0" t="n">
        <v>0.99962</v>
      </c>
      <c r="H55" s="0" t="n">
        <v>-1.172358</v>
      </c>
      <c r="I55" s="0" t="n">
        <v>42.052</v>
      </c>
      <c r="J55" s="0" t="n">
        <v>41.559</v>
      </c>
      <c r="K55" s="0" t="n">
        <v>7.81</v>
      </c>
      <c r="L55" s="0" t="n">
        <v>15.33</v>
      </c>
      <c r="M55" s="0" t="n">
        <v>0.996924</v>
      </c>
    </row>
    <row r="56" customFormat="false" ht="15" hidden="false" customHeight="false" outlineLevel="0" collapsed="false">
      <c r="A56" s="2" t="s">
        <v>29</v>
      </c>
      <c r="B56" s="2" t="s">
        <v>26</v>
      </c>
      <c r="C56" s="2" t="n">
        <v>1</v>
      </c>
      <c r="D56" s="2" t="n">
        <v>0.952633</v>
      </c>
      <c r="E56" s="2" t="n">
        <v>0.90955</v>
      </c>
      <c r="F56" s="2" t="n">
        <v>0.955261</v>
      </c>
      <c r="G56" s="2" t="n">
        <v>0.998523</v>
      </c>
      <c r="H56" s="2" t="n">
        <v>-0.548698</v>
      </c>
      <c r="I56" s="2" t="n">
        <v>332.788</v>
      </c>
      <c r="J56" s="2" t="n">
        <v>330.962</v>
      </c>
      <c r="K56" s="2" t="n">
        <v>1.414</v>
      </c>
      <c r="L56" s="2" t="n">
        <v>10.677</v>
      </c>
      <c r="M56" s="2" t="n">
        <v>0.980991</v>
      </c>
    </row>
    <row r="57" customFormat="false" ht="15" hidden="false" customHeight="false" outlineLevel="0" collapsed="false">
      <c r="A57" s="0" t="s">
        <v>29</v>
      </c>
      <c r="B57" s="0" t="s">
        <v>26</v>
      </c>
      <c r="C57" s="0" t="n">
        <v>2</v>
      </c>
      <c r="D57" s="0" t="n">
        <v>0</v>
      </c>
      <c r="E57" s="0" t="n">
        <v>0</v>
      </c>
      <c r="G57" s="0" t="n">
        <v>1</v>
      </c>
      <c r="H57" s="0" t="n">
        <v>-100</v>
      </c>
      <c r="I57" s="0" t="n">
        <v>4.845</v>
      </c>
      <c r="J57" s="0" t="n">
        <v>0</v>
      </c>
      <c r="M57" s="0" t="n">
        <v>0.998552</v>
      </c>
    </row>
    <row r="58" customFormat="false" ht="15" hidden="false" customHeight="false" outlineLevel="0" collapsed="false">
      <c r="A58" s="2" t="s">
        <v>29</v>
      </c>
      <c r="B58" s="2" t="s">
        <v>27</v>
      </c>
      <c r="C58" s="2" t="n">
        <v>1</v>
      </c>
      <c r="D58" s="2" t="n">
        <v>0.929859</v>
      </c>
      <c r="E58" s="2" t="n">
        <v>0.868913</v>
      </c>
      <c r="F58" s="2" t="n">
        <v>0.936048</v>
      </c>
      <c r="G58" s="2" t="n">
        <v>0.998567</v>
      </c>
      <c r="H58" s="2" t="n">
        <v>-1.313654</v>
      </c>
      <c r="I58" s="2" t="n">
        <v>300.688</v>
      </c>
      <c r="J58" s="2" t="n">
        <v>296.738</v>
      </c>
      <c r="K58" s="2" t="n">
        <v>2</v>
      </c>
      <c r="L58" s="2" t="n">
        <v>5.831</v>
      </c>
      <c r="M58" s="2" t="n">
        <v>0.981263</v>
      </c>
    </row>
    <row r="59" customFormat="false" ht="15" hidden="false" customHeight="false" outlineLevel="0" collapsed="false">
      <c r="A59" s="0" t="s">
        <v>29</v>
      </c>
      <c r="B59" s="0" t="s">
        <v>27</v>
      </c>
      <c r="C59" s="0" t="n">
        <v>2</v>
      </c>
      <c r="D59" s="0" t="n">
        <v>0.902634</v>
      </c>
      <c r="E59" s="0" t="n">
        <v>0.822545</v>
      </c>
      <c r="F59" s="0" t="n">
        <v>0.847903</v>
      </c>
      <c r="G59" s="0" t="n">
        <v>0.999791</v>
      </c>
      <c r="H59" s="0" t="n">
        <v>13.800294</v>
      </c>
      <c r="I59" s="0" t="n">
        <v>16.304</v>
      </c>
      <c r="J59" s="0" t="n">
        <v>18.554</v>
      </c>
      <c r="K59" s="0" t="n">
        <v>3.162</v>
      </c>
      <c r="L59" s="0" t="n">
        <v>38.601</v>
      </c>
      <c r="M59" s="0" t="n">
        <v>0.99845</v>
      </c>
    </row>
    <row r="60" customFormat="false" ht="15" hidden="false" customHeight="false" outlineLevel="0" collapsed="false">
      <c r="A60" s="2" t="s">
        <v>29</v>
      </c>
      <c r="B60" s="2" t="s">
        <v>28</v>
      </c>
      <c r="C60" s="2" t="n">
        <v>1</v>
      </c>
      <c r="D60" s="2" t="n">
        <v>0.921691</v>
      </c>
      <c r="E60" s="2" t="n">
        <v>0.854756</v>
      </c>
      <c r="F60" s="2" t="n">
        <v>0.905005</v>
      </c>
      <c r="G60" s="2" t="n">
        <v>0.996605</v>
      </c>
      <c r="H60" s="2" t="n">
        <v>3.756802</v>
      </c>
      <c r="I60" s="2" t="n">
        <v>447.455</v>
      </c>
      <c r="J60" s="2" t="n">
        <v>464.265</v>
      </c>
      <c r="K60" s="2" t="n">
        <v>2.236</v>
      </c>
      <c r="L60" s="2" t="n">
        <v>12.45</v>
      </c>
      <c r="M60" s="2" t="n">
        <v>0.974127</v>
      </c>
    </row>
    <row r="61" customFormat="false" ht="15" hidden="false" customHeight="false" outlineLevel="0" collapsed="false">
      <c r="A61" s="0" t="s">
        <v>29</v>
      </c>
      <c r="B61" s="0" t="s">
        <v>28</v>
      </c>
      <c r="C61" s="0" t="n">
        <v>2</v>
      </c>
      <c r="D61" s="0" t="n">
        <v>0.023793</v>
      </c>
      <c r="E61" s="0" t="n">
        <v>0.01204</v>
      </c>
      <c r="F61" s="0" t="n">
        <v>0.974026</v>
      </c>
      <c r="G61" s="0" t="n">
        <v>1</v>
      </c>
      <c r="H61" s="0" t="n">
        <v>-98.763516</v>
      </c>
      <c r="I61" s="0" t="n">
        <v>18.682</v>
      </c>
      <c r="J61" s="0" t="n">
        <v>0.231</v>
      </c>
      <c r="K61" s="0" t="n">
        <v>33.136</v>
      </c>
      <c r="L61" s="0" t="n">
        <v>34.886</v>
      </c>
      <c r="M61" s="0" t="n">
        <v>0.996903</v>
      </c>
    </row>
    <row r="63" customFormat="false" ht="13.8" hidden="false" customHeight="false" outlineLevel="0" collapsed="false">
      <c r="D63" s="0" t="n">
        <f aca="false">AVERAGE(D3,D5,D7,D9,D11,D13,D17,D19,D21,D23,D25,D27,D29,D31)</f>
        <v>0.823433571428571</v>
      </c>
      <c r="E63" s="0" t="n">
        <f aca="false">AVERAGE(E3,E5,E7,E9,E11,E13,E17,E19,E21,E23,E25,E27,E29,E31)</f>
        <v>0.730696214285714</v>
      </c>
      <c r="F63" s="0" t="n">
        <f aca="false">AVERAGE(F3,F5,F7,F9,F11,F13,F17,F19,F21,F23,F25,F27,F29,F31)</f>
        <v>0.893439642857143</v>
      </c>
      <c r="G63" s="0" t="n">
        <f aca="false">AVERAGE(G3,G5,G7,G9,G11,G13,G17,G19,G21,G23,G25,G27,G29,G31)</f>
        <v>0.999747857142857</v>
      </c>
      <c r="H63" s="0" t="n">
        <f aca="false">AVERAGE(H3,H5,H7,H9,H11,H13,H17,H19,H21,H23,H25,H27,H29,H31)</f>
        <v>-7.27940478571429</v>
      </c>
      <c r="I63" s="0" t="n">
        <f aca="false">AVERAGE(I3,I5,I7,I9,I11,I13,I17,I19,I21,I23,I25,I27,I29,I31)</f>
        <v>37.3542142857143</v>
      </c>
      <c r="J63" s="0" t="n">
        <f aca="false">AVERAGE(J3,J5,J7,J9,J11,J13,J17,J19,J21,J23,J25,J27,J29,J31)</f>
        <v>36.125</v>
      </c>
      <c r="K63" s="0" t="n">
        <f aca="false">AVERAGE(K3,K5,K7,K9,K11,K13,K17,K19,K21,K23,K25,K27,K29,K31)</f>
        <v>5.60214285714286</v>
      </c>
      <c r="L63" s="0" t="n">
        <f aca="false">AVERAGE(L3,L5,L7,L9,L11,L13,L17,L19,L21,L23,L25,L27,L29,L31)</f>
        <v>7.95957142857143</v>
      </c>
      <c r="M63" s="0" t="n">
        <f aca="false">AVERAGE(M3,M5,M7,M9,M11,M13,M17,M19,M21,M23,M25,M27,M29,M31)</f>
        <v>0.997033357142857</v>
      </c>
    </row>
    <row r="64" customFormat="false" ht="13.8" hidden="false" customHeight="false" outlineLevel="0" collapsed="false">
      <c r="D64" s="0" t="n">
        <f aca="false">_xlfn.STDEV.P(D3,D5,D7,D9,D11,D13,D17,D19,D21,D23,D25,D27,D29,D31)</f>
        <v>0.179337289559053</v>
      </c>
      <c r="E64" s="0" t="n">
        <f aca="false">_xlfn.STDEV.P(E3,E5,E7,E9,E11,E13,E17,E19,E21,E23,E25,E27,E29,E31)</f>
        <v>0.204383620675567</v>
      </c>
      <c r="F64" s="0" t="n">
        <f aca="false">_xlfn.STDEV.P(F3,F5,F7,F9,F11,F13,F17,F19,F21,F23,F25,F27,F29,F31)</f>
        <v>0.10661312310647</v>
      </c>
      <c r="G64" s="0" t="n">
        <f aca="false">_xlfn.STDEV.P(G3,G5,G7,G9,G11,G13,G17,G19,G21,G23,G25,G27,G29,G31)</f>
        <v>0.000345945878744657</v>
      </c>
      <c r="H64" s="0" t="n">
        <f aca="false">_xlfn.STDEV.P(H3,H5,H7,H9,H11,H13,H17,H19,H21,H23,H25,H27,H29,H31)</f>
        <v>27.7855082742409</v>
      </c>
      <c r="I64" s="0" t="n">
        <f aca="false">_xlfn.STDEV.P(I3,I5,I7,I9,I11,I13,I17,I19,I21,I23,I25,I27,I29,I31)</f>
        <v>40.7490389635643</v>
      </c>
      <c r="J64" s="0" t="n">
        <f aca="false">_xlfn.STDEV.P(J3,J5,J7,J9,J11,J13,J17,J19,J21,J23,J25,J27,J29,J31)</f>
        <v>43.0485540872165</v>
      </c>
      <c r="K64" s="0" t="n">
        <f aca="false">_xlfn.STDEV.P(K3,K5,K7,K9,K11,K13,K17,K19,K21,K23,K25,K27,K29,K31)</f>
        <v>6.36740893543209</v>
      </c>
      <c r="L64" s="0" t="n">
        <f aca="false">_xlfn.STDEV.P(L3,L5,L7,L9,L11,L13,L17,L19,L21,L23,L25,L27,L29,L31)</f>
        <v>7.29478027392861</v>
      </c>
      <c r="M64" s="0" t="n">
        <f aca="false">_xlfn.STDEV.P(M3,M5,M7,M9,M11,M13,M17,M19,M21,M23,M25,M27,M29,M31)</f>
        <v>0.00217145331870297</v>
      </c>
    </row>
    <row r="66" customFormat="false" ht="13.8" hidden="false" customHeight="false" outlineLevel="0" collapsed="false">
      <c r="D66" s="0" t="n">
        <f aca="false">AVERAGE(D33,D35,D37,D39,D41,D43,D47,D49,D51,D53,D55,D57,D59,D61)</f>
        <v>0.4050505</v>
      </c>
      <c r="E66" s="0" t="n">
        <f aca="false">AVERAGE(E33,E35,E37,E39,E41,E43,E47,E49,E51,E53,E55,E57,E59,E61)</f>
        <v>0.321555785714286</v>
      </c>
      <c r="F66" s="0" t="n">
        <f aca="false">AVERAGE(F33,F35,F37,F39,F41,F43,F47,F49,F51,F53,F55,F57,F59,F61)</f>
        <v>0.92464875</v>
      </c>
      <c r="G66" s="0" t="n">
        <f aca="false">AVERAGE(G33,G35,G37,G39,G41,G43,G47,G49,G51,G53,G55,G57,G59,G61)</f>
        <v>0.999894071428571</v>
      </c>
      <c r="H66" s="0" t="n">
        <f aca="false">AVERAGE(H33,H35,H37,H39,H41,H43,H47,H49,H51,H53,H55,H57,H59,H61)</f>
        <v>-60.6381561428571</v>
      </c>
      <c r="I66" s="0" t="n">
        <f aca="false">AVERAGE(I33,I35,I37,I39,I41,I43,I47,I49,I51,I53,I55,I57,I59,I61)</f>
        <v>37.3542142857143</v>
      </c>
      <c r="J66" s="0" t="n">
        <f aca="false">AVERAGE(J33,J35,J37,J39,J41,J43,J47,J49,J51,J53,J55,J57,J59,J61)</f>
        <v>20.0118571428571</v>
      </c>
      <c r="K66" s="0" t="n">
        <f aca="false">AVERAGE(K33,K35,K37,K39,K41,K43,K47,K49,K51,K53,K55,K57,K59,K61)</f>
        <v>15.7934166666667</v>
      </c>
      <c r="L66" s="0" t="n">
        <f aca="false">AVERAGE(L33,L35,L37,L39,L41,L43,L47,L49,L51,L53,L55,L57,L59,L61)</f>
        <v>23.05175</v>
      </c>
      <c r="M66" s="0" t="n">
        <f aca="false">AVERAGE(M33,M35,M37,M39,M41,M43,M47,M49,M51,M53,M55,M57,M59,M61)</f>
        <v>0.995341857142857</v>
      </c>
    </row>
    <row r="67" customFormat="false" ht="13.8" hidden="false" customHeight="false" outlineLevel="0" collapsed="false">
      <c r="D67" s="0" t="n">
        <f aca="false">_xlfn.STDEV.P(D33,D35,D37,D39,D41,D43,D47,D49,D51,D53,D55,D57,D59,D61)</f>
        <v>0.351672273738887</v>
      </c>
      <c r="E67" s="0" t="n">
        <f aca="false">_xlfn.STDEV.P(E33,E35,E37,E39,E41,E43,E47,E49,E51,E53,E55,E57,E59,E61)</f>
        <v>0.309168578927923</v>
      </c>
      <c r="F67" s="0" t="n">
        <f aca="false">_xlfn.STDEV.P(F33,F35,F37,F39,F41,F43,F47,F49,F51,F53,F55,F57,F59,F61)</f>
        <v>0.0784613161353256</v>
      </c>
      <c r="G67" s="0" t="n">
        <f aca="false">_xlfn.STDEV.P(G33,G35,G37,G39,G41,G43,G47,G49,G51,G53,G55,G57,G59,G61)</f>
        <v>0.000177767691217548</v>
      </c>
      <c r="H67" s="0" t="n">
        <f aca="false">_xlfn.STDEV.P(H33,H35,H37,H39,H41,H43,H47,H49,H51,H53,H55,H57,H59,H61)</f>
        <v>39.6887211172204</v>
      </c>
      <c r="I67" s="0" t="n">
        <f aca="false">_xlfn.STDEV.P(I33,I35,I37,I39,I41,I43,I47,I49,I51,I53,I55,I57,I59,I61)</f>
        <v>40.7490389635643</v>
      </c>
      <c r="J67" s="0" t="n">
        <f aca="false">_xlfn.STDEV.P(J33,J35,J37,J39,J41,J43,J47,J49,J51,J53,J55,J57,J59,J61)</f>
        <v>34.0189304355618</v>
      </c>
      <c r="K67" s="0" t="n">
        <f aca="false">_xlfn.STDEV.P(K33,K35,K37,K39,K41,K43,K47,K49,K51,K53,K55,K57,K59,K61)</f>
        <v>10.8628149625096</v>
      </c>
      <c r="L67" s="0" t="n">
        <f aca="false">_xlfn.STDEV.P(L33,L35,L37,L39,L41,L43,L47,L49,L51,L53,L55,L57,L59,L61)</f>
        <v>10.9756541803894</v>
      </c>
      <c r="M67" s="0" t="n">
        <f aca="false">_xlfn.STDEV.P(M33,M35,M37,M39,M41,M43,M47,M49,M51,M53,M55,M57,M59,M61)</f>
        <v>0.00376678534518954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7"/>
    <col collapsed="false" customWidth="true" hidden="false" outlineLevel="0" max="15" min="15" style="0" width="18"/>
    <col collapsed="false" customWidth="true" hidden="false" outlineLevel="0" max="16" min="16" style="0" width="17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12"/>
    <col collapsed="false" customWidth="true" hidden="false" outlineLevel="0" max="21" min="20" style="0" width="11"/>
    <col collapsed="false" customWidth="true" hidden="false" outlineLevel="0" max="22" min="22" style="0" width="10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</row>
    <row r="2" customFormat="false" ht="15" hidden="false" customHeight="false" outlineLevel="0" collapsed="false">
      <c r="A2" s="2" t="s">
        <v>29</v>
      </c>
      <c r="B2" s="2" t="n">
        <v>1</v>
      </c>
      <c r="C2" s="2" t="n">
        <v>0.9276</v>
      </c>
      <c r="D2" s="2" t="n">
        <v>0.0287</v>
      </c>
      <c r="E2" s="2" t="n">
        <v>0.8662</v>
      </c>
      <c r="F2" s="2" t="n">
        <v>0.0476</v>
      </c>
      <c r="G2" s="2" t="n">
        <v>0.9176</v>
      </c>
      <c r="H2" s="2" t="n">
        <v>0.0548</v>
      </c>
      <c r="I2" s="2" t="n">
        <v>0.9972</v>
      </c>
      <c r="J2" s="2" t="n">
        <v>0.0021</v>
      </c>
      <c r="K2" s="2" t="n">
        <v>375.2752</v>
      </c>
      <c r="L2" s="2" t="n">
        <v>104.8887</v>
      </c>
      <c r="M2" s="2" t="n">
        <v>381.7962</v>
      </c>
      <c r="N2" s="2" t="n">
        <v>95.121</v>
      </c>
      <c r="O2" s="2" t="n">
        <v>2.8512</v>
      </c>
      <c r="P2" s="2" t="n">
        <v>7.7873</v>
      </c>
      <c r="Q2" s="2" t="n">
        <v>3.093</v>
      </c>
      <c r="R2" s="2" t="n">
        <v>2.9338</v>
      </c>
      <c r="S2" s="2" t="n">
        <v>20.8882</v>
      </c>
      <c r="T2" s="2" t="n">
        <v>15.9221</v>
      </c>
      <c r="U2" s="2" t="n">
        <v>0.9768</v>
      </c>
      <c r="V2" s="2" t="n">
        <v>0.0045</v>
      </c>
    </row>
    <row r="3" customFormat="false" ht="15" hidden="false" customHeight="false" outlineLevel="0" collapsed="false">
      <c r="A3" s="0" t="s">
        <v>29</v>
      </c>
      <c r="B3" s="0" t="n">
        <v>2</v>
      </c>
      <c r="C3" s="0" t="n">
        <v>0.378</v>
      </c>
      <c r="D3" s="0" t="n">
        <v>0.3669</v>
      </c>
      <c r="E3" s="0" t="n">
        <v>0.3001</v>
      </c>
      <c r="F3" s="0" t="n">
        <v>0.3201</v>
      </c>
      <c r="G3" s="0" t="n">
        <v>0.9246</v>
      </c>
      <c r="H3" s="0" t="n">
        <v>0.082</v>
      </c>
      <c r="I3" s="0" t="n">
        <v>0.9999</v>
      </c>
      <c r="J3" s="0" t="n">
        <v>0.0002</v>
      </c>
      <c r="K3" s="0" t="n">
        <v>35.1702</v>
      </c>
      <c r="L3" s="0" t="n">
        <v>41.6177</v>
      </c>
      <c r="M3" s="0" t="n">
        <v>18.6777</v>
      </c>
      <c r="N3" s="0" t="n">
        <v>34.4091</v>
      </c>
      <c r="O3" s="0" t="n">
        <v>-63.2623</v>
      </c>
      <c r="P3" s="0" t="n">
        <v>40.9693</v>
      </c>
      <c r="Q3" s="0" t="n">
        <v>15.7934</v>
      </c>
      <c r="R3" s="0" t="n">
        <v>11.3458</v>
      </c>
      <c r="S3" s="0" t="n">
        <v>23.0517</v>
      </c>
      <c r="T3" s="0" t="n">
        <v>11.4637</v>
      </c>
      <c r="U3" s="0" t="n">
        <v>0.9956</v>
      </c>
      <c r="V3" s="0" t="n">
        <v>0.0039</v>
      </c>
    </row>
    <row r="4" customFormat="false" ht="15" hidden="false" customHeight="false" outlineLevel="0" collapsed="false">
      <c r="A4" s="2" t="s">
        <v>13</v>
      </c>
      <c r="B4" s="2" t="n">
        <v>1</v>
      </c>
      <c r="C4" s="2" t="n">
        <v>0.9446</v>
      </c>
      <c r="D4" s="2" t="n">
        <v>0.0107</v>
      </c>
      <c r="E4" s="2" t="n">
        <v>0.8952</v>
      </c>
      <c r="F4" s="2" t="n">
        <v>0.0193</v>
      </c>
      <c r="G4" s="2" t="n">
        <v>0.942</v>
      </c>
      <c r="H4" s="2" t="n">
        <v>0.0128</v>
      </c>
      <c r="I4" s="2" t="n">
        <v>0.9981</v>
      </c>
      <c r="J4" s="2" t="n">
        <v>0.0006</v>
      </c>
      <c r="K4" s="2" t="n">
        <v>375.2752</v>
      </c>
      <c r="L4" s="2" t="n">
        <v>104.8887</v>
      </c>
      <c r="M4" s="2" t="n">
        <v>377.1014</v>
      </c>
      <c r="N4" s="2" t="n">
        <v>103.8453</v>
      </c>
      <c r="O4" s="2" t="n">
        <v>0.5648</v>
      </c>
      <c r="P4" s="2" t="n">
        <v>1.2291</v>
      </c>
      <c r="Q4" s="2" t="n">
        <v>2.5811</v>
      </c>
      <c r="R4" s="2" t="n">
        <v>2.7681</v>
      </c>
      <c r="S4" s="2" t="n">
        <v>15.5959</v>
      </c>
      <c r="T4" s="2" t="n">
        <v>7.1193</v>
      </c>
      <c r="U4" s="2" t="n">
        <v>0.9789</v>
      </c>
      <c r="V4" s="2" t="n">
        <v>0.0036</v>
      </c>
    </row>
    <row r="5" customFormat="false" ht="15" hidden="false" customHeight="false" outlineLevel="0" collapsed="false">
      <c r="A5" s="0" t="s">
        <v>13</v>
      </c>
      <c r="B5" s="0" t="n">
        <v>2</v>
      </c>
      <c r="C5" s="0" t="n">
        <v>0.7685</v>
      </c>
      <c r="D5" s="0" t="n">
        <v>0.2781</v>
      </c>
      <c r="E5" s="0" t="n">
        <v>0.682</v>
      </c>
      <c r="F5" s="0" t="n">
        <v>0.2781</v>
      </c>
      <c r="G5" s="0" t="n">
        <v>0.8934</v>
      </c>
      <c r="H5" s="0" t="n">
        <v>0.1106</v>
      </c>
      <c r="I5" s="0" t="n">
        <v>0.9998</v>
      </c>
      <c r="J5" s="0" t="n">
        <v>0.0004</v>
      </c>
      <c r="K5" s="0" t="n">
        <v>35.1702</v>
      </c>
      <c r="L5" s="0" t="n">
        <v>41.6177</v>
      </c>
      <c r="M5" s="0" t="n">
        <v>33.7167</v>
      </c>
      <c r="N5" s="0" t="n">
        <v>44.0475</v>
      </c>
      <c r="O5" s="0" t="n">
        <v>-13.4608</v>
      </c>
      <c r="P5" s="0" t="n">
        <v>36.6766</v>
      </c>
      <c r="Q5" s="0" t="n">
        <v>5.6021</v>
      </c>
      <c r="R5" s="0" t="n">
        <v>6.6078</v>
      </c>
      <c r="S5" s="0" t="n">
        <v>7.9596</v>
      </c>
      <c r="T5" s="0" t="n">
        <v>7.5702</v>
      </c>
      <c r="U5" s="0" t="n">
        <v>0.9971</v>
      </c>
      <c r="V5" s="0" t="n">
        <v>0.0022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2026-05-07T10:37:35Z</dcterms:created>
  <dc:creator>openpyxl</dc:creator>
  <dc:description/>
  <dc:language>es-ES</dc:language>
  <cp:lastModifiedBy/>
  <dcterms:modified xsi:type="dcterms:W3CDTF">2026-05-07T18:10:36Z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